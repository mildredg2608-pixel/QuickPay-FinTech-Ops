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QuickPay_Project\02_spreadsheet\"/>
    </mc:Choice>
  </mc:AlternateContent>
  <bookViews>
    <workbookView xWindow="0" yWindow="0" windowWidth="20490" windowHeight="7650" activeTab="1"/>
  </bookViews>
  <sheets>
    <sheet name="Sheet4" sheetId="4" r:id="rId1"/>
    <sheet name="Transactions" sheetId="1" r:id="rId2"/>
    <sheet name="Rates" sheetId="2" r:id="rId3"/>
    <sheet name="Merchants" sheetId="3" r:id="rId4"/>
  </sheets>
  <definedNames>
    <definedName name="_xlnm._FilterDatabase" localSheetId="1" hidden="1">Transactions!$A$1:$O$31</definedName>
  </definedNames>
  <calcPr calcId="162913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L2" i="1" l="1"/>
  <c r="N2" i="1" s="1"/>
  <c r="L3" i="1"/>
  <c r="N3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</calcChain>
</file>

<file path=xl/sharedStrings.xml><?xml version="1.0" encoding="utf-8"?>
<sst xmlns="http://schemas.openxmlformats.org/spreadsheetml/2006/main" count="320" uniqueCount="99">
  <si>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</si>
  <si>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</si>
  <si>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</si>
  <si>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</si>
  <si>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</si>
  <si>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</si>
  <si>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</si>
  <si>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</si>
  <si>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</si>
  <si>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</si>
  <si>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</si>
  <si>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>INR</t>
  </si>
  <si>
    <t>APAC</t>
  </si>
  <si>
    <t>U001</t>
  </si>
  <si>
    <t>UPI</t>
  </si>
  <si>
    <t>T002</t>
  </si>
  <si>
    <t>U002</t>
  </si>
  <si>
    <t>Card</t>
  </si>
  <si>
    <t>T003</t>
  </si>
  <si>
    <t>U003</t>
  </si>
  <si>
    <t>NetBanking</t>
  </si>
  <si>
    <t>T004</t>
  </si>
  <si>
    <t>U004</t>
  </si>
  <si>
    <t>T005</t>
  </si>
  <si>
    <t>Alpha Mart</t>
  </si>
  <si>
    <t>T006</t>
  </si>
  <si>
    <t>U005</t>
  </si>
  <si>
    <t>Wallet</t>
  </si>
  <si>
    <t>T007</t>
  </si>
  <si>
    <t>U006</t>
  </si>
  <si>
    <t>T008</t>
  </si>
  <si>
    <t>U007</t>
  </si>
  <si>
    <t>T009</t>
  </si>
  <si>
    <t>T010</t>
  </si>
  <si>
    <t>Beta Stores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</si>
  <si>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</si>
  <si>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</si>
  <si>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</si>
  <si>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</si>
  <si>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</si>
  <si>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</si>
  <si>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</si>
  <si>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</si>
  <si>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</si>
  <si>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</si>
  <si>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</si>
  <si>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</si>
  <si>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</si>
  <si>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</si>
  <si>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</si>
  <si>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</si>
  <si>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</si>
  <si>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</si>
  <si>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T024</t>
  </si>
  <si>
    <t>Eco Home</t>
  </si>
  <si>
    <t>EU</t>
  </si>
  <si>
    <t>T025</t>
  </si>
  <si>
    <t>T026</t>
  </si>
  <si>
    <t>T027</t>
  </si>
  <si>
    <t>USD</t>
  </si>
  <si>
    <t>T028</t>
  </si>
  <si>
    <t>Delta Travels</t>
  </si>
  <si>
    <t>US</t>
  </si>
  <si>
    <t>T029</t>
  </si>
  <si>
    <t>T030</t>
  </si>
  <si>
    <t>rate_date</t>
  </si>
  <si>
    <t>usd_rate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</si>
  <si>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</si>
  <si>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</si>
  <si>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</si>
  <si>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</si>
  <si>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</si>
  <si>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</si>
  <si>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</si>
  <si>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</si>
  <si>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</si>
  <si>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</si>
  <si>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</si>
  <si>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</si>
  <si>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</si>
  <si>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</si>
  <si>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</si>
  <si>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</si>
  <si>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</si>
  <si>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</si>
  <si>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</si>
  <si>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CAPTURED</t>
  </si>
  <si>
    <t>amount_usd</t>
  </si>
  <si>
    <t>region</t>
  </si>
  <si>
    <t>Merchant id</t>
  </si>
  <si>
    <t>high_value_flag</t>
  </si>
  <si>
    <t>high_risk_flag</t>
  </si>
  <si>
    <t>Row Labels</t>
  </si>
  <si>
    <t>Grand Total</t>
  </si>
  <si>
    <t>CHARGEBACK</t>
  </si>
  <si>
    <t>FAILED</t>
  </si>
  <si>
    <t>Sum of amount_usd</t>
  </si>
  <si>
    <t>chargeback</t>
  </si>
  <si>
    <t>Failed E05 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</si>
</sst>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52.710541203705" createdVersion="6" refreshedVersion="6" minRefreshableVersion="3" recordCount="30">
  <cacheSource type="worksheet">
    <worksheetSource ref="A1:O31" sheet="Transactions"/>
  </cacheSource>
  <cacheFields count="15">
    <cacheField name="transaction_id" numFmtId="0">
      <sharedItems count="30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</sharedItems>
    </cacheField>
    <cacheField name="transaction_date" numFmtId="164">
      <sharedItems containsSemiMixedTypes="0" containsNonDate="0" containsDate="1" containsString="0" minDate="2026-03-01T00:00:00" maxDate="2026-03-07T00:00:00"/>
    </cacheField>
    <cacheField name="merchant_name" numFmtId="0">
      <sharedItems count="5">
        <s v="Alpha Mart"/>
        <s v="Beta Stores"/>
        <s v="City Pharma"/>
        <s v="Eco Home"/>
        <s v="Delta Travels"/>
      </sharedItems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 count="3">
        <s v="CAPTURED"/>
        <s v="Failed E05 Timeout"/>
        <s v="chargeback"/>
      </sharedItems>
    </cacheField>
    <cacheField name="risk_score" numFmtId="0">
      <sharedItems containsBlank="1" containsMixedTypes="1" containsNumber="1" containsInteger="1" minValue="38" maxValue="75"/>
    </cacheField>
    <cacheField name="gateway_region" numFmtId="0">
      <sharedItems containsBlank="1"/>
    </cacheField>
    <cacheField name="user_id" numFmtId="0">
      <sharedItems/>
    </cacheField>
    <cacheField name="payment_method" numFmtId="0">
      <sharedItems/>
    </cacheField>
    <cacheField name="amount_usd" numFmtId="0">
      <sharedItems containsSemiMixedTypes="0" containsString="0" containsNumber="1" minValue="1487.5" maxValue="7259.0000000000009"/>
    </cacheField>
    <cacheField name="region" numFmtId="0">
      <sharedItems count="3">
        <s v="APAC"/>
        <s v="EU"/>
        <s v="US"/>
      </sharedItems>
    </cacheField>
    <cacheField name="Merchant id" numFmtId="0">
      <sharedItems/>
    </cacheField>
    <cacheField name="high_value_flag" numFmtId="0">
      <sharedItems containsSemiMixedTypes="0" containsString="0" containsNumber="1" containsInteger="1" minValue="0" maxValue="1"/>
    </cacheField>
    <cacheField name="high_risk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d v="2026-03-01T00:00:00"/>
    <x v="0"/>
    <n v="420000"/>
    <s v="INR"/>
    <x v="0"/>
    <s v="score:62"/>
    <s v="APAC"/>
    <s v="U001"/>
    <s v="UPI"/>
    <n v="4998"/>
    <x v="0"/>
    <s v="M001"/>
    <n v="0"/>
    <n v="1"/>
  </r>
  <r>
    <x v="1"/>
    <d v="2026-03-01T00:00:00"/>
    <x v="0"/>
    <n v="210000"/>
    <s v="INR"/>
    <x v="0"/>
    <n v="55"/>
    <m/>
    <s v="U002"/>
    <s v="Card"/>
    <n v="2499"/>
    <x v="0"/>
    <s v="M001"/>
    <n v="0"/>
    <n v="0"/>
  </r>
  <r>
    <x v="2"/>
    <d v="2026-03-01T00:00:00"/>
    <x v="1"/>
    <n v="510000"/>
    <s v="INR"/>
    <x v="0"/>
    <n v="71"/>
    <s v=" APAC "/>
    <s v="U003"/>
    <s v="NetBanking"/>
    <n v="6069"/>
    <x v="0"/>
    <s v="M002"/>
    <n v="1"/>
    <n v="1"/>
  </r>
  <r>
    <x v="3"/>
    <d v="2026-03-02T00:00:00"/>
    <x v="1"/>
    <n v="160000"/>
    <s v="INR"/>
    <x v="1"/>
    <n v="68"/>
    <s v="APAC"/>
    <s v="U004"/>
    <s v="Card"/>
    <n v="1904.0000000000002"/>
    <x v="0"/>
    <s v="M002"/>
    <n v="0"/>
    <n v="0"/>
  </r>
  <r>
    <x v="4"/>
    <d v="2026-03-02T00:00:00"/>
    <x v="0"/>
    <n v="390000"/>
    <s v="INR"/>
    <x v="0"/>
    <n v="58"/>
    <m/>
    <s v="U001"/>
    <s v="UPI"/>
    <n v="4641"/>
    <x v="0"/>
    <s v="M001"/>
    <n v="0"/>
    <n v="0"/>
  </r>
  <r>
    <x v="5"/>
    <d v="2026-03-02T00:00:00"/>
    <x v="1"/>
    <n v="275000"/>
    <s v="INR"/>
    <x v="0"/>
    <s v="score:64"/>
    <m/>
    <s v="U005"/>
    <s v="Wallet"/>
    <n v="3272.5000000000005"/>
    <x v="0"/>
    <s v="M002"/>
    <n v="0"/>
    <n v="1"/>
  </r>
  <r>
    <x v="6"/>
    <d v="2026-03-02T00:00:00"/>
    <x v="0"/>
    <n v="450000"/>
    <s v="INR"/>
    <x v="2"/>
    <s v="risk-83"/>
    <s v=" APAC "/>
    <s v="U006"/>
    <s v="Card"/>
    <n v="5355"/>
    <x v="0"/>
    <s v="M001"/>
    <n v="1"/>
    <n v="1"/>
  </r>
  <r>
    <x v="7"/>
    <d v="2026-03-03T00:00:00"/>
    <x v="1"/>
    <n v="340000"/>
    <s v="INR"/>
    <x v="0"/>
    <n v="59"/>
    <m/>
    <s v="U007"/>
    <s v="UPI"/>
    <n v="4046.0000000000005"/>
    <x v="0"/>
    <s v="M002"/>
    <n v="0"/>
    <n v="0"/>
  </r>
  <r>
    <x v="8"/>
    <d v="2026-03-03T00:00:00"/>
    <x v="0"/>
    <n v="125000"/>
    <s v="INR"/>
    <x v="0"/>
    <n v="46"/>
    <s v="APAC"/>
    <s v="U002"/>
    <s v="Wallet"/>
    <n v="1487.5"/>
    <x v="0"/>
    <s v="M001"/>
    <n v="0"/>
    <n v="0"/>
  </r>
  <r>
    <x v="9"/>
    <d v="2026-03-03T00:00:00"/>
    <x v="1"/>
    <n v="610000"/>
    <s v="INR"/>
    <x v="0"/>
    <s v="risk-77"/>
    <m/>
    <s v="U003"/>
    <s v="Card"/>
    <n v="7259.0000000000009"/>
    <x v="0"/>
    <s v="M002"/>
    <n v="1"/>
    <n v="1"/>
  </r>
  <r>
    <x v="10"/>
    <d v="2026-03-03T00:00:00"/>
    <x v="0"/>
    <n v="195000"/>
    <s v="INR"/>
    <x v="1"/>
    <m/>
    <m/>
    <s v="U008"/>
    <s v="UPI"/>
    <n v="2320.5"/>
    <x v="0"/>
    <s v="M001"/>
    <n v="0"/>
    <n v="0"/>
  </r>
  <r>
    <x v="11"/>
    <d v="2026-03-04T00:00:00"/>
    <x v="1"/>
    <n v="250000"/>
    <s v="INR"/>
    <x v="0"/>
    <s v="risk-61"/>
    <s v=" APAC "/>
    <s v="U009"/>
    <s v="Card"/>
    <n v="2975"/>
    <x v="0"/>
    <s v="M002"/>
    <n v="0"/>
    <n v="1"/>
  </r>
  <r>
    <x v="12"/>
    <d v="2026-03-04T00:00:00"/>
    <x v="0"/>
    <n v="310000"/>
    <s v="INR"/>
    <x v="0"/>
    <s v="score:54"/>
    <s v="APAC"/>
    <s v="U010"/>
    <s v="UPI"/>
    <n v="3689.0000000000005"/>
    <x v="0"/>
    <s v="M001"/>
    <n v="0"/>
    <n v="1"/>
  </r>
  <r>
    <x v="13"/>
    <d v="2026-03-04T00:00:00"/>
    <x v="1"/>
    <n v="470000"/>
    <s v="INR"/>
    <x v="0"/>
    <s v="risk-73"/>
    <s v="APAC"/>
    <s v="U001"/>
    <s v="NetBanking"/>
    <n v="5593"/>
    <x v="0"/>
    <s v="M002"/>
    <n v="1"/>
    <n v="1"/>
  </r>
  <r>
    <x v="14"/>
    <d v="2026-03-04T00:00:00"/>
    <x v="0"/>
    <n v="130000"/>
    <s v="INR"/>
    <x v="0"/>
    <s v="score:52"/>
    <m/>
    <s v="U002"/>
    <s v="Card"/>
    <n v="1547"/>
    <x v="0"/>
    <s v="M001"/>
    <n v="0"/>
    <n v="1"/>
  </r>
  <r>
    <x v="15"/>
    <d v="2026-03-05T00:00:00"/>
    <x v="1"/>
    <n v="220000"/>
    <s v="INR"/>
    <x v="1"/>
    <s v="risk-69"/>
    <m/>
    <s v="U008"/>
    <s v="Card"/>
    <n v="2618"/>
    <x v="0"/>
    <s v="M002"/>
    <n v="0"/>
    <n v="1"/>
  </r>
  <r>
    <x v="16"/>
    <d v="2026-03-05T00:00:00"/>
    <x v="1"/>
    <n v="180000"/>
    <s v="INR"/>
    <x v="1"/>
    <s v="score:72"/>
    <s v="APAC"/>
    <s v="U008"/>
    <s v="Card"/>
    <n v="2142"/>
    <x v="0"/>
    <s v="M002"/>
    <n v="0"/>
    <n v="1"/>
  </r>
  <r>
    <x v="17"/>
    <d v="2026-03-05T00:00:00"/>
    <x v="1"/>
    <n v="145000"/>
    <s v="INR"/>
    <x v="2"/>
    <s v="risk-86"/>
    <s v=" APAC "/>
    <s v="U008"/>
    <s v="UPI"/>
    <n v="1725.5000000000002"/>
    <x v="0"/>
    <s v="M002"/>
    <n v="0"/>
    <n v="1"/>
  </r>
  <r>
    <x v="18"/>
    <d v="2026-03-05T00:00:00"/>
    <x v="0"/>
    <n v="260000"/>
    <s v="INR"/>
    <x v="1"/>
    <s v="score:67"/>
    <s v="APAC"/>
    <s v="U008"/>
    <s v="Wallet"/>
    <n v="3094"/>
    <x v="0"/>
    <s v="M001"/>
    <n v="0"/>
    <n v="1"/>
  </r>
  <r>
    <x v="19"/>
    <d v="2026-03-05T00:00:00"/>
    <x v="0"/>
    <n v="520000"/>
    <s v="INR"/>
    <x v="0"/>
    <n v="75"/>
    <s v="APAC"/>
    <s v="U005"/>
    <s v="UPI"/>
    <n v="6188"/>
    <x v="0"/>
    <s v="M001"/>
    <n v="1"/>
    <n v="1"/>
  </r>
  <r>
    <x v="20"/>
    <d v="2026-03-06T00:00:00"/>
    <x v="1"/>
    <n v="330000"/>
    <s v="INR"/>
    <x v="0"/>
    <s v="score:63"/>
    <m/>
    <s v="U006"/>
    <s v="Card"/>
    <n v="3927.0000000000005"/>
    <x v="0"/>
    <s v="M002"/>
    <n v="0"/>
    <n v="1"/>
  </r>
  <r>
    <x v="21"/>
    <d v="2026-03-06T00:00:00"/>
    <x v="0"/>
    <n v="410000"/>
    <s v="INR"/>
    <x v="0"/>
    <n v="60"/>
    <s v="APAC"/>
    <s v="U007"/>
    <s v="UPI"/>
    <n v="4879"/>
    <x v="0"/>
    <s v="M001"/>
    <n v="0"/>
    <n v="0"/>
  </r>
  <r>
    <x v="22"/>
    <d v="2026-03-01T00:00:00"/>
    <x v="2"/>
    <n v="5200"/>
    <s v="EUR"/>
    <x v="0"/>
    <n v="42"/>
    <s v=" EU "/>
    <s v="U003"/>
    <s v="Card"/>
    <n v="5616"/>
    <x v="1"/>
    <s v="M003"/>
    <n v="0"/>
    <n v="0"/>
  </r>
  <r>
    <x v="23"/>
    <d v="2026-03-02T00:00:00"/>
    <x v="3"/>
    <n v="6100"/>
    <s v="EUR"/>
    <x v="2"/>
    <s v="score:65"/>
    <s v="EU"/>
    <s v="U004"/>
    <s v="Card"/>
    <n v="6588"/>
    <x v="1"/>
    <s v="M005"/>
    <n v="1"/>
    <n v="1"/>
  </r>
  <r>
    <x v="24"/>
    <d v="2026-03-03T00:00:00"/>
    <x v="2"/>
    <n v="2800"/>
    <s v="EUR"/>
    <x v="0"/>
    <n v="38"/>
    <s v="EU"/>
    <s v="U005"/>
    <s v="Wallet"/>
    <n v="3024"/>
    <x v="1"/>
    <s v="M003"/>
    <n v="0"/>
    <n v="0"/>
  </r>
  <r>
    <x v="25"/>
    <d v="2026-03-05T00:00:00"/>
    <x v="3"/>
    <n v="3300"/>
    <s v="EUR"/>
    <x v="1"/>
    <n v="44"/>
    <s v=" EU "/>
    <s v="U006"/>
    <s v="NetBanking"/>
    <n v="3564.0000000000005"/>
    <x v="1"/>
    <s v="M005"/>
    <n v="0"/>
    <n v="0"/>
  </r>
  <r>
    <x v="26"/>
    <d v="2026-03-01T00:00:00"/>
    <x v="4"/>
    <n v="7200"/>
    <s v="USD"/>
    <x v="0"/>
    <n v="49"/>
    <s v="us"/>
    <s v="U007"/>
    <s v="Card"/>
    <n v="7200"/>
    <x v="2"/>
    <s v="M004"/>
    <n v="1"/>
    <n v="0"/>
  </r>
  <r>
    <x v="27"/>
    <d v="2026-03-02T00:00:00"/>
    <x v="4"/>
    <n v="3100"/>
    <s v="USD"/>
    <x v="0"/>
    <s v="risk-41"/>
    <s v="us"/>
    <s v="U008"/>
    <s v="Card"/>
    <n v="3100"/>
    <x v="2"/>
    <s v="M004"/>
    <n v="0"/>
    <n v="1"/>
  </r>
  <r>
    <x v="28"/>
    <d v="2026-03-04T00:00:00"/>
    <x v="4"/>
    <n v="2500"/>
    <s v="USD"/>
    <x v="2"/>
    <s v="score:58"/>
    <s v="us"/>
    <s v="U009"/>
    <s v="Wallet"/>
    <n v="2500"/>
    <x v="2"/>
    <s v="M004"/>
    <n v="0"/>
    <n v="1"/>
  </r>
  <r>
    <x v="29"/>
    <d v="2026-03-06T00:00:00"/>
    <x v="4"/>
    <n v="1800"/>
    <s v="USD"/>
    <x v="1"/>
    <s v="score:47"/>
    <s v="us"/>
    <s v="U010"/>
    <s v="UPI"/>
    <n v="1800"/>
    <x v="2"/>
    <s v="M004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4" firstHeaderRow="1" firstDataRow="1" firstDataCol="1"/>
  <pivotFields count="15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umFmtId="164"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3">
    <field x="11"/>
    <field x="2"/>
    <field x="5"/>
  </rowFields>
  <rowItems count="21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1"/>
    </i>
    <i r="1">
      <x v="2"/>
    </i>
    <i r="2">
      <x/>
    </i>
    <i r="1">
      <x v="4"/>
    </i>
    <i r="2">
      <x v="1"/>
    </i>
    <i r="2">
      <x v="2"/>
    </i>
    <i>
      <x v="2"/>
    </i>
    <i r="1">
      <x v="3"/>
    </i>
    <i r="2">
      <x/>
    </i>
    <i r="2">
      <x v="1"/>
    </i>
    <i r="2">
      <x v="2"/>
    </i>
    <i t="grand">
      <x/>
    </i>
  </rowItems>
  <colItems count="1">
    <i/>
  </colItems>
  <dataFields count="1">
    <dataField name="Sum of amount_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B7" sqref="B7"/>
    </sheetView>
  </sheetViews>
  <sheetFormatPr defaultRowHeight="15" x14ac:dyDescent="0.25"/>
  <cols>
    <col min="1" max="1" width="23.5703125" bestFit="1" customWidth="1"/>
    <col min="2" max="3" width="18.85546875" bestFit="1" customWidth="1"/>
  </cols>
  <sheetData>
    <row r="3" spans="1:2" x14ac:dyDescent="0.25">
      <c r="A3" s="3" t="s">
        <v>92</v>
      </c>
      <c r="B3" t="s">
        <v>96</v>
      </c>
    </row>
    <row r="4" spans="1:2" x14ac:dyDescent="0.25">
      <c r="A4" s="4" t="s">
        <v>12</v>
      </c>
      <c r="B4" s="5">
        <v>82229</v>
      </c>
    </row>
    <row r="5" spans="1:2" x14ac:dyDescent="0.25">
      <c r="A5" s="6" t="s">
        <v>24</v>
      </c>
      <c r="B5" s="5">
        <v>40698</v>
      </c>
    </row>
    <row r="6" spans="1:2" x14ac:dyDescent="0.25">
      <c r="A6" s="7" t="s">
        <v>86</v>
      </c>
      <c r="B6" s="5">
        <v>29928.5</v>
      </c>
    </row>
    <row r="7" spans="1:2" x14ac:dyDescent="0.25">
      <c r="A7" s="7" t="s">
        <v>97</v>
      </c>
      <c r="B7" s="5">
        <v>5355</v>
      </c>
    </row>
    <row r="8" spans="1:2" x14ac:dyDescent="0.25">
      <c r="A8" s="7" t="s">
        <v>98</v>
      </c>
      <c r="B8" s="5">
        <v>5414.5</v>
      </c>
    </row>
    <row r="9" spans="1:2" x14ac:dyDescent="0.25">
      <c r="A9" s="6" t="s">
        <v>34</v>
      </c>
      <c r="B9" s="5">
        <v>41531</v>
      </c>
    </row>
    <row r="10" spans="1:2" x14ac:dyDescent="0.25">
      <c r="A10" s="7" t="s">
        <v>86</v>
      </c>
      <c r="B10" s="5">
        <v>33141.5</v>
      </c>
    </row>
    <row r="11" spans="1:2" x14ac:dyDescent="0.25">
      <c r="A11" s="7" t="s">
        <v>97</v>
      </c>
      <c r="B11" s="5">
        <v>1725.5000000000002</v>
      </c>
    </row>
    <row r="12" spans="1:2" x14ac:dyDescent="0.25">
      <c r="A12" s="7" t="s">
        <v>98</v>
      </c>
      <c r="B12" s="5">
        <v>6664</v>
      </c>
    </row>
    <row r="13" spans="1:2" x14ac:dyDescent="0.25">
      <c r="A13" s="4" t="s">
        <v>55</v>
      </c>
      <c r="B13" s="5">
        <v>18792</v>
      </c>
    </row>
    <row r="14" spans="1:2" x14ac:dyDescent="0.25">
      <c r="A14" s="6" t="s">
        <v>51</v>
      </c>
      <c r="B14" s="5">
        <v>8640</v>
      </c>
    </row>
    <row r="15" spans="1:2" x14ac:dyDescent="0.25">
      <c r="A15" s="7" t="s">
        <v>86</v>
      </c>
      <c r="B15" s="5">
        <v>8640</v>
      </c>
    </row>
    <row r="16" spans="1:2" x14ac:dyDescent="0.25">
      <c r="A16" s="6" t="s">
        <v>54</v>
      </c>
      <c r="B16" s="5">
        <v>10152</v>
      </c>
    </row>
    <row r="17" spans="1:2" x14ac:dyDescent="0.25">
      <c r="A17" s="7" t="s">
        <v>97</v>
      </c>
      <c r="B17" s="5">
        <v>6588</v>
      </c>
    </row>
    <row r="18" spans="1:2" x14ac:dyDescent="0.25">
      <c r="A18" s="7" t="s">
        <v>98</v>
      </c>
      <c r="B18" s="5">
        <v>3564.0000000000005</v>
      </c>
    </row>
    <row r="19" spans="1:2" x14ac:dyDescent="0.25">
      <c r="A19" s="4" t="s">
        <v>62</v>
      </c>
      <c r="B19" s="5">
        <v>14600</v>
      </c>
    </row>
    <row r="20" spans="1:2" x14ac:dyDescent="0.25">
      <c r="A20" s="6" t="s">
        <v>61</v>
      </c>
      <c r="B20" s="5">
        <v>14600</v>
      </c>
    </row>
    <row r="21" spans="1:2" x14ac:dyDescent="0.25">
      <c r="A21" s="7" t="s">
        <v>86</v>
      </c>
      <c r="B21" s="5">
        <v>10300</v>
      </c>
    </row>
    <row r="22" spans="1:2" x14ac:dyDescent="0.25">
      <c r="A22" s="7" t="s">
        <v>97</v>
      </c>
      <c r="B22" s="5">
        <v>2500</v>
      </c>
    </row>
    <row r="23" spans="1:2" x14ac:dyDescent="0.25">
      <c r="A23" s="7" t="s">
        <v>98</v>
      </c>
      <c r="B23" s="5">
        <v>1800</v>
      </c>
    </row>
    <row r="24" spans="1:2" x14ac:dyDescent="0.25">
      <c r="A24" s="4" t="s">
        <v>93</v>
      </c>
      <c r="B24" s="5">
        <v>115621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C1" workbookViewId="0">
      <selection activeCell="D2" sqref="D2"/>
    </sheetView>
  </sheetViews>
  <sheetFormatPr defaultRowHeight="15" x14ac:dyDescent="0.25"/>
  <cols>
    <col min="1" max="1" width="16" bestFit="1" customWidth="1"/>
    <col min="2" max="2" width="18.28515625" style="2" bestFit="1" customWidth="1"/>
    <col min="3" max="3" width="17.85546875" bestFit="1" customWidth="1"/>
    <col min="4" max="4" width="14.42578125" bestFit="1" customWidth="1"/>
    <col min="5" max="5" width="10.85546875" bestFit="1" customWidth="1"/>
    <col min="6" max="6" width="18" bestFit="1" customWidth="1"/>
    <col min="7" max="7" width="12.140625" bestFit="1" customWidth="1"/>
    <col min="8" max="8" width="17.5703125" bestFit="1" customWidth="1"/>
    <col min="9" max="9" width="9.85546875" bestFit="1" customWidth="1"/>
    <col min="10" max="10" width="19.28515625" bestFit="1" customWidth="1"/>
    <col min="11" max="11" width="12" bestFit="1" customWidth="1"/>
  </cols>
  <sheetData>
    <row r="1" spans="1:15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</row>
    <row r="2" spans="1:15" x14ac:dyDescent="0.25">
      <c r="A2" t="s">
        <v>10</v>
      </c>
      <c r="B2" s="2">
        <v>46082</v>
      </c>
      <c r="C2" t="s">
        <v>24</v>
      </c>
      <c r="D2">
        <v>420000</v>
      </c>
      <c r="E2" t="s">
        <v>11</v>
      </c>
      <c r="F2" t="s">
        <v>86</v>
      </c>
      <c r="G2">
        <v>62</v>
      </c>
      <c r="H2" t="s">
        <v>12</v>
      </c>
      <c r="I2" t="s">
        <v>13</v>
      </c>
      <c r="J2" t="s">
        <v>14</v>
      </c>
      <c r="K2">
        <f>D2*VLOOKUP(E2,Rates!B:C,2,0)</f>
        <v>4998</v>
      </c>
      <c r="L2" t="str">
        <f>VLOOKUP(C2,Merchants!$B$1:$E$6,4,0)</f>
        <v>APAC</v>
      </c>
      <c r="M2" t="s">
        <v>71</v>
      </c>
      <c r="N2">
        <f>IF(OR(AND(L:L="APAC", K:K&gt; 5000), AND(L:L="EU", K:K&gt; 6000), AND(L:L="US", K:K&gt; 7000)), 1, 0)</f>
        <v>0</v>
      </c>
      <c r="O2">
        <f>IF(OR(G2&gt;=70, F2="CHARGEBACK"), 1, 0)</f>
        <v>0</v>
      </c>
    </row>
    <row r="3" spans="1:15" x14ac:dyDescent="0.25">
      <c r="A3" t="s">
        <v>15</v>
      </c>
      <c r="B3" s="2">
        <v>46082</v>
      </c>
      <c r="C3" t="s">
        <v>24</v>
      </c>
      <c r="D3">
        <v>210000</v>
      </c>
      <c r="E3" t="s">
        <v>11</v>
      </c>
      <c r="F3" t="s">
        <v>86</v>
      </c>
      <c r="G3">
        <v>55</v>
      </c>
      <c r="I3" t="s">
        <v>16</v>
      </c>
      <c r="J3" t="s">
        <v>17</v>
      </c>
      <c r="K3">
        <f>D3*VLOOKUP(E3,Rates!$B$1:$C$19,2,FALSE)</f>
        <v>2499</v>
      </c>
      <c r="L3" t="str">
        <f>VLOOKUP(C3,Merchants!$B$1:$E$6,4,0)</f>
        <v>APAC</v>
      </c>
      <c r="M3" t="s">
        <v>71</v>
      </c>
      <c r="N3">
        <f t="shared" ref="N3:N31" si="0">IF(OR(AND(L:L="APAC", K:K&gt; 5000), AND(L:L="EU", K:K&gt; 6000), AND(L:L="US", K:K&gt; 7000)), 1, 0)</f>
        <v>0</v>
      </c>
      <c r="O3">
        <f t="shared" ref="O3:O31" si="1">IF(OR(G3&gt;=70, F3="CHARGEBACK"), 1, 0)</f>
        <v>0</v>
      </c>
    </row>
    <row r="4" spans="1:15" x14ac:dyDescent="0.25">
      <c r="A4" t="s">
        <v>18</v>
      </c>
      <c r="B4" s="2">
        <v>46082</v>
      </c>
      <c r="C4" t="s">
        <v>34</v>
      </c>
      <c r="D4">
        <v>510000</v>
      </c>
      <c r="E4" t="s">
        <v>11</v>
      </c>
      <c r="F4" t="s">
        <v>86</v>
      </c>
      <c r="G4">
        <v>71</v>
      </c>
      <c r="H4" t="s">
        <v>12</v>
      </c>
      <c r="I4" t="s">
        <v>19</v>
      </c>
      <c r="J4" t="s">
        <v>20</v>
      </c>
      <c r="K4">
        <f>D4*VLOOKUP(E4,Rates!$B$1:$C$19,2,FALSE)</f>
        <v>6069</v>
      </c>
      <c r="L4" t="str">
        <f>VLOOKUP(C4,Merchants!$B$1:$E$6,4,0)</f>
        <v>APAC</v>
      </c>
      <c r="M4" t="s">
        <v>74</v>
      </c>
      <c r="N4">
        <f t="shared" si="0"/>
        <v>1</v>
      </c>
      <c r="O4">
        <f t="shared" si="1"/>
        <v>1</v>
      </c>
    </row>
    <row r="5" spans="1:15" x14ac:dyDescent="0.25">
      <c r="A5" t="s">
        <v>21</v>
      </c>
      <c r="B5" s="2">
        <v>46083</v>
      </c>
      <c r="C5" t="s">
        <v>34</v>
      </c>
      <c r="D5">
        <v>160000</v>
      </c>
      <c r="E5" t="s">
        <v>11</v>
      </c>
      <c r="F5" t="s">
        <v>95</v>
      </c>
      <c r="G5">
        <v>68</v>
      </c>
      <c r="H5" t="s">
        <v>12</v>
      </c>
      <c r="I5" t="s">
        <v>22</v>
      </c>
      <c r="J5" t="s">
        <v>17</v>
      </c>
      <c r="K5">
        <f>D5*VLOOKUP(E5,Rates!$B$1:$C$19,2,FALSE)</f>
        <v>1904.0000000000002</v>
      </c>
      <c r="L5" t="str">
        <f>VLOOKUP(C5,Merchants!$B$1:$E$6,4,0)</f>
        <v>APAC</v>
      </c>
      <c r="M5" t="s">
        <v>74</v>
      </c>
      <c r="N5">
        <f t="shared" si="0"/>
        <v>0</v>
      </c>
      <c r="O5">
        <f t="shared" si="1"/>
        <v>0</v>
      </c>
    </row>
    <row r="6" spans="1:15" x14ac:dyDescent="0.25">
      <c r="A6" t="s">
        <v>23</v>
      </c>
      <c r="B6" s="2">
        <v>46083</v>
      </c>
      <c r="C6" t="s">
        <v>24</v>
      </c>
      <c r="D6">
        <v>390000</v>
      </c>
      <c r="E6" t="s">
        <v>11</v>
      </c>
      <c r="F6" t="s">
        <v>86</v>
      </c>
      <c r="G6">
        <v>58</v>
      </c>
      <c r="I6" t="s">
        <v>13</v>
      </c>
      <c r="J6" t="s">
        <v>14</v>
      </c>
      <c r="K6">
        <f>D6*VLOOKUP(E6,Rates!$B$1:$C$19,2,FALSE)</f>
        <v>4641</v>
      </c>
      <c r="L6" t="str">
        <f>VLOOKUP(C6,Merchants!$B$1:$E$6,4,0)</f>
        <v>APAC</v>
      </c>
      <c r="M6" t="s">
        <v>71</v>
      </c>
      <c r="N6">
        <f t="shared" si="0"/>
        <v>0</v>
      </c>
      <c r="O6">
        <f t="shared" si="1"/>
        <v>0</v>
      </c>
    </row>
    <row r="7" spans="1:15" x14ac:dyDescent="0.25">
      <c r="A7" t="s">
        <v>25</v>
      </c>
      <c r="B7" s="2">
        <v>46083</v>
      </c>
      <c r="C7" t="s">
        <v>34</v>
      </c>
      <c r="D7">
        <v>275000</v>
      </c>
      <c r="E7" t="s">
        <v>11</v>
      </c>
      <c r="F7" t="s">
        <v>86</v>
      </c>
      <c r="G7">
        <v>64</v>
      </c>
      <c r="I7" t="s">
        <v>26</v>
      </c>
      <c r="J7" t="s">
        <v>27</v>
      </c>
      <c r="K7">
        <f>D7*VLOOKUP(E7,Rates!$B$1:$C$19,2,FALSE)</f>
        <v>3272.5000000000005</v>
      </c>
      <c r="L7" t="str">
        <f>VLOOKUP(C7,Merchants!$B$1:$E$6,4,0)</f>
        <v>APAC</v>
      </c>
      <c r="M7" t="s">
        <v>74</v>
      </c>
      <c r="N7">
        <f t="shared" si="0"/>
        <v>0</v>
      </c>
      <c r="O7">
        <f t="shared" si="1"/>
        <v>0</v>
      </c>
    </row>
    <row r="8" spans="1:15" x14ac:dyDescent="0.25">
      <c r="A8" t="s">
        <v>28</v>
      </c>
      <c r="B8" s="2">
        <v>46083</v>
      </c>
      <c r="C8" t="s">
        <v>24</v>
      </c>
      <c r="D8">
        <v>450000</v>
      </c>
      <c r="E8" t="s">
        <v>11</v>
      </c>
      <c r="F8" t="s">
        <v>94</v>
      </c>
      <c r="G8">
        <v>83</v>
      </c>
      <c r="H8" t="s">
        <v>12</v>
      </c>
      <c r="I8" t="s">
        <v>29</v>
      </c>
      <c r="J8" t="s">
        <v>17</v>
      </c>
      <c r="K8">
        <f>D8*VLOOKUP(E8,Rates!$B$1:$C$19,2,FALSE)</f>
        <v>5355</v>
      </c>
      <c r="L8" t="str">
        <f>VLOOKUP(C8,Merchants!$B$1:$E$6,4,0)</f>
        <v>APAC</v>
      </c>
      <c r="M8" t="s">
        <v>71</v>
      </c>
      <c r="N8">
        <f t="shared" si="0"/>
        <v>1</v>
      </c>
      <c r="O8">
        <f t="shared" si="1"/>
        <v>1</v>
      </c>
    </row>
    <row r="9" spans="1:15" x14ac:dyDescent="0.25">
      <c r="A9" t="s">
        <v>30</v>
      </c>
      <c r="B9" s="2">
        <v>46084</v>
      </c>
      <c r="C9" t="s">
        <v>34</v>
      </c>
      <c r="D9">
        <v>340000</v>
      </c>
      <c r="E9" t="s">
        <v>11</v>
      </c>
      <c r="F9" t="s">
        <v>86</v>
      </c>
      <c r="G9">
        <v>59</v>
      </c>
      <c r="I9" t="s">
        <v>31</v>
      </c>
      <c r="J9" t="s">
        <v>14</v>
      </c>
      <c r="K9">
        <f>D9*VLOOKUP(E9,Rates!$B$1:$C$19,2,FALSE)</f>
        <v>4046.0000000000005</v>
      </c>
      <c r="L9" t="str">
        <f>VLOOKUP(C9,Merchants!$B$1:$E$6,4,0)</f>
        <v>APAC</v>
      </c>
      <c r="M9" t="s">
        <v>74</v>
      </c>
      <c r="N9">
        <f t="shared" si="0"/>
        <v>0</v>
      </c>
      <c r="O9">
        <f t="shared" si="1"/>
        <v>0</v>
      </c>
    </row>
    <row r="10" spans="1:15" x14ac:dyDescent="0.25">
      <c r="A10" t="s">
        <v>32</v>
      </c>
      <c r="B10" s="2">
        <v>46084</v>
      </c>
      <c r="C10" t="s">
        <v>24</v>
      </c>
      <c r="D10">
        <v>125000</v>
      </c>
      <c r="E10" t="s">
        <v>11</v>
      </c>
      <c r="F10" t="s">
        <v>86</v>
      </c>
      <c r="G10">
        <v>46</v>
      </c>
      <c r="H10" t="s">
        <v>12</v>
      </c>
      <c r="I10" t="s">
        <v>16</v>
      </c>
      <c r="J10" t="s">
        <v>27</v>
      </c>
      <c r="K10">
        <f>D10*VLOOKUP(E10,Rates!$B$1:$C$19,2,FALSE)</f>
        <v>1487.5</v>
      </c>
      <c r="L10" t="str">
        <f>VLOOKUP(C10,Merchants!$B$1:$E$6,4,0)</f>
        <v>APAC</v>
      </c>
      <c r="M10" t="s">
        <v>71</v>
      </c>
      <c r="N10">
        <f t="shared" si="0"/>
        <v>0</v>
      </c>
      <c r="O10">
        <f t="shared" si="1"/>
        <v>0</v>
      </c>
    </row>
    <row r="11" spans="1:15" x14ac:dyDescent="0.25">
      <c r="A11" t="s">
        <v>33</v>
      </c>
      <c r="B11" s="2">
        <v>46084</v>
      </c>
      <c r="C11" t="s">
        <v>34</v>
      </c>
      <c r="D11">
        <v>610000</v>
      </c>
      <c r="E11" t="s">
        <v>11</v>
      </c>
      <c r="F11" t="s">
        <v>86</v>
      </c>
      <c r="G11">
        <v>77</v>
      </c>
      <c r="I11" t="s">
        <v>19</v>
      </c>
      <c r="J11" t="s">
        <v>17</v>
      </c>
      <c r="K11">
        <f>D11*VLOOKUP(E11,Rates!$B$1:$C$19,2,FALSE)</f>
        <v>7259.0000000000009</v>
      </c>
      <c r="L11" t="str">
        <f>VLOOKUP(C11,Merchants!$B$1:$E$6,4,0)</f>
        <v>APAC</v>
      </c>
      <c r="M11" t="s">
        <v>74</v>
      </c>
      <c r="N11">
        <f t="shared" si="0"/>
        <v>1</v>
      </c>
      <c r="O11">
        <f t="shared" si="1"/>
        <v>1</v>
      </c>
    </row>
    <row r="12" spans="1:15" x14ac:dyDescent="0.25">
      <c r="A12" t="s">
        <v>35</v>
      </c>
      <c r="B12" s="2">
        <v>46084</v>
      </c>
      <c r="C12" t="s">
        <v>24</v>
      </c>
      <c r="D12">
        <v>195000</v>
      </c>
      <c r="E12" t="s">
        <v>11</v>
      </c>
      <c r="F12" t="s">
        <v>95</v>
      </c>
      <c r="I12" t="s">
        <v>36</v>
      </c>
      <c r="J12" t="s">
        <v>14</v>
      </c>
      <c r="K12">
        <f>D12*VLOOKUP(E12,Rates!$B$1:$C$19,2,FALSE)</f>
        <v>2320.5</v>
      </c>
      <c r="L12" t="str">
        <f>VLOOKUP(C12,Merchants!$B$1:$E$6,4,0)</f>
        <v>APAC</v>
      </c>
      <c r="M12" t="s">
        <v>71</v>
      </c>
      <c r="N12">
        <f t="shared" si="0"/>
        <v>0</v>
      </c>
      <c r="O12">
        <f t="shared" si="1"/>
        <v>0</v>
      </c>
    </row>
    <row r="13" spans="1:15" x14ac:dyDescent="0.25">
      <c r="A13" t="s">
        <v>37</v>
      </c>
      <c r="B13" s="2">
        <v>46085</v>
      </c>
      <c r="C13" t="s">
        <v>34</v>
      </c>
      <c r="D13">
        <v>250000</v>
      </c>
      <c r="E13" t="s">
        <v>11</v>
      </c>
      <c r="F13" t="s">
        <v>86</v>
      </c>
      <c r="G13">
        <v>61</v>
      </c>
      <c r="H13" t="s">
        <v>12</v>
      </c>
      <c r="I13" t="s">
        <v>38</v>
      </c>
      <c r="J13" t="s">
        <v>17</v>
      </c>
      <c r="K13">
        <f>D13*VLOOKUP(E13,Rates!$B$1:$C$19,2,FALSE)</f>
        <v>2975</v>
      </c>
      <c r="L13" t="str">
        <f>VLOOKUP(C13,Merchants!$B$1:$E$6,4,0)</f>
        <v>APAC</v>
      </c>
      <c r="M13" t="s">
        <v>74</v>
      </c>
      <c r="N13">
        <f t="shared" si="0"/>
        <v>0</v>
      </c>
      <c r="O13">
        <f t="shared" si="1"/>
        <v>0</v>
      </c>
    </row>
    <row r="14" spans="1:15" x14ac:dyDescent="0.25">
      <c r="A14" t="s">
        <v>39</v>
      </c>
      <c r="B14" s="2">
        <v>46085</v>
      </c>
      <c r="C14" t="s">
        <v>24</v>
      </c>
      <c r="D14">
        <v>310000</v>
      </c>
      <c r="E14" t="s">
        <v>11</v>
      </c>
      <c r="F14" t="s">
        <v>86</v>
      </c>
      <c r="G14">
        <v>54</v>
      </c>
      <c r="H14" t="s">
        <v>12</v>
      </c>
      <c r="I14" t="s">
        <v>40</v>
      </c>
      <c r="J14" t="s">
        <v>14</v>
      </c>
      <c r="K14">
        <f>D14*VLOOKUP(E14,Rates!$B$1:$C$19,2,FALSE)</f>
        <v>3689.0000000000005</v>
      </c>
      <c r="L14" t="str">
        <f>VLOOKUP(C14,Merchants!$B$1:$E$6,4,0)</f>
        <v>APAC</v>
      </c>
      <c r="M14" t="s">
        <v>71</v>
      </c>
      <c r="N14">
        <f t="shared" si="0"/>
        <v>0</v>
      </c>
      <c r="O14">
        <f t="shared" si="1"/>
        <v>0</v>
      </c>
    </row>
    <row r="15" spans="1:15" x14ac:dyDescent="0.25">
      <c r="A15" t="s">
        <v>41</v>
      </c>
      <c r="B15" s="2">
        <v>46085</v>
      </c>
      <c r="C15" t="s">
        <v>34</v>
      </c>
      <c r="D15">
        <v>470000</v>
      </c>
      <c r="E15" t="s">
        <v>11</v>
      </c>
      <c r="F15" t="s">
        <v>86</v>
      </c>
      <c r="G15">
        <v>73</v>
      </c>
      <c r="H15" t="s">
        <v>12</v>
      </c>
      <c r="I15" t="s">
        <v>13</v>
      </c>
      <c r="J15" t="s">
        <v>20</v>
      </c>
      <c r="K15">
        <f>D15*VLOOKUP(E15,Rates!$B$1:$C$19,2,FALSE)</f>
        <v>5593</v>
      </c>
      <c r="L15" t="str">
        <f>VLOOKUP(C15,Merchants!$B$1:$E$6,4,0)</f>
        <v>APAC</v>
      </c>
      <c r="M15" t="s">
        <v>74</v>
      </c>
      <c r="N15">
        <f t="shared" si="0"/>
        <v>1</v>
      </c>
      <c r="O15">
        <f t="shared" si="1"/>
        <v>1</v>
      </c>
    </row>
    <row r="16" spans="1:15" x14ac:dyDescent="0.25">
      <c r="A16" t="s">
        <v>42</v>
      </c>
      <c r="B16" s="2">
        <v>46085</v>
      </c>
      <c r="C16" t="s">
        <v>24</v>
      </c>
      <c r="D16">
        <v>130000</v>
      </c>
      <c r="E16" t="s">
        <v>11</v>
      </c>
      <c r="F16" t="s">
        <v>86</v>
      </c>
      <c r="G16">
        <v>52</v>
      </c>
      <c r="I16" t="s">
        <v>16</v>
      </c>
      <c r="J16" t="s">
        <v>17</v>
      </c>
      <c r="K16">
        <f>D16*VLOOKUP(E16,Rates!$B$1:$C$19,2,FALSE)</f>
        <v>1547</v>
      </c>
      <c r="L16" t="str">
        <f>VLOOKUP(C16,Merchants!$B$1:$E$6,4,0)</f>
        <v>APAC</v>
      </c>
      <c r="M16" t="s">
        <v>71</v>
      </c>
      <c r="N16">
        <f t="shared" si="0"/>
        <v>0</v>
      </c>
      <c r="O16">
        <f t="shared" si="1"/>
        <v>0</v>
      </c>
    </row>
    <row r="17" spans="1:15" x14ac:dyDescent="0.25">
      <c r="A17" t="s">
        <v>43</v>
      </c>
      <c r="B17" s="2">
        <v>46086</v>
      </c>
      <c r="C17" t="s">
        <v>34</v>
      </c>
      <c r="D17">
        <v>220000</v>
      </c>
      <c r="E17" t="s">
        <v>11</v>
      </c>
      <c r="F17" t="s">
        <v>95</v>
      </c>
      <c r="G17">
        <v>69</v>
      </c>
      <c r="I17" t="s">
        <v>36</v>
      </c>
      <c r="J17" t="s">
        <v>17</v>
      </c>
      <c r="K17">
        <f>D17*VLOOKUP(E17,Rates!$B$1:$C$19,2,FALSE)</f>
        <v>2618</v>
      </c>
      <c r="L17" t="str">
        <f>VLOOKUP(C17,Merchants!$B$1:$E$6,4,0)</f>
        <v>APAC</v>
      </c>
      <c r="M17" t="s">
        <v>74</v>
      </c>
      <c r="N17">
        <f t="shared" si="0"/>
        <v>0</v>
      </c>
      <c r="O17">
        <f t="shared" si="1"/>
        <v>0</v>
      </c>
    </row>
    <row r="18" spans="1:15" x14ac:dyDescent="0.25">
      <c r="A18" t="s">
        <v>44</v>
      </c>
      <c r="B18" s="2">
        <v>46086</v>
      </c>
      <c r="C18" t="s">
        <v>34</v>
      </c>
      <c r="D18">
        <v>180000</v>
      </c>
      <c r="E18" t="s">
        <v>11</v>
      </c>
      <c r="F18" t="s">
        <v>95</v>
      </c>
      <c r="G18">
        <v>72</v>
      </c>
      <c r="H18" t="s">
        <v>12</v>
      </c>
      <c r="I18" t="s">
        <v>36</v>
      </c>
      <c r="J18" t="s">
        <v>17</v>
      </c>
      <c r="K18">
        <f>D18*VLOOKUP(E18,Rates!$B$1:$C$19,2,FALSE)</f>
        <v>2142</v>
      </c>
      <c r="L18" t="str">
        <f>VLOOKUP(C18,Merchants!$B$1:$E$6,4,0)</f>
        <v>APAC</v>
      </c>
      <c r="M18" t="s">
        <v>74</v>
      </c>
      <c r="N18">
        <f t="shared" si="0"/>
        <v>0</v>
      </c>
      <c r="O18">
        <f t="shared" si="1"/>
        <v>1</v>
      </c>
    </row>
    <row r="19" spans="1:15" x14ac:dyDescent="0.25">
      <c r="A19" t="s">
        <v>45</v>
      </c>
      <c r="B19" s="2">
        <v>46086</v>
      </c>
      <c r="C19" t="s">
        <v>34</v>
      </c>
      <c r="D19">
        <v>145000</v>
      </c>
      <c r="E19" t="s">
        <v>11</v>
      </c>
      <c r="F19" t="s">
        <v>94</v>
      </c>
      <c r="G19">
        <v>86</v>
      </c>
      <c r="H19" t="s">
        <v>12</v>
      </c>
      <c r="I19" t="s">
        <v>36</v>
      </c>
      <c r="J19" t="s">
        <v>14</v>
      </c>
      <c r="K19">
        <f>D19*VLOOKUP(E19,Rates!$B$1:$C$19,2,FALSE)</f>
        <v>1725.5000000000002</v>
      </c>
      <c r="L19" t="str">
        <f>VLOOKUP(C19,Merchants!$B$1:$E$6,4,0)</f>
        <v>APAC</v>
      </c>
      <c r="M19" t="s">
        <v>74</v>
      </c>
      <c r="N19">
        <f t="shared" si="0"/>
        <v>0</v>
      </c>
      <c r="O19">
        <f t="shared" si="1"/>
        <v>1</v>
      </c>
    </row>
    <row r="20" spans="1:15" x14ac:dyDescent="0.25">
      <c r="A20" t="s">
        <v>46</v>
      </c>
      <c r="B20" s="2">
        <v>46086</v>
      </c>
      <c r="C20" t="s">
        <v>24</v>
      </c>
      <c r="D20">
        <v>260000</v>
      </c>
      <c r="E20" t="s">
        <v>11</v>
      </c>
      <c r="F20" t="s">
        <v>95</v>
      </c>
      <c r="G20">
        <v>67</v>
      </c>
      <c r="H20" t="s">
        <v>12</v>
      </c>
      <c r="I20" t="s">
        <v>36</v>
      </c>
      <c r="J20" t="s">
        <v>27</v>
      </c>
      <c r="K20">
        <f>D20*VLOOKUP(E20,Rates!$B$1:$C$19,2,FALSE)</f>
        <v>3094</v>
      </c>
      <c r="L20" t="str">
        <f>VLOOKUP(C20,Merchants!$B$1:$E$6,4,0)</f>
        <v>APAC</v>
      </c>
      <c r="M20" t="s">
        <v>71</v>
      </c>
      <c r="N20">
        <f t="shared" si="0"/>
        <v>0</v>
      </c>
      <c r="O20">
        <f t="shared" si="1"/>
        <v>0</v>
      </c>
    </row>
    <row r="21" spans="1:15" x14ac:dyDescent="0.25">
      <c r="A21" t="s">
        <v>47</v>
      </c>
      <c r="B21" s="2">
        <v>46086</v>
      </c>
      <c r="C21" t="s">
        <v>24</v>
      </c>
      <c r="D21">
        <v>520000</v>
      </c>
      <c r="E21" t="s">
        <v>11</v>
      </c>
      <c r="F21" t="s">
        <v>86</v>
      </c>
      <c r="G21">
        <v>75</v>
      </c>
      <c r="H21" t="s">
        <v>12</v>
      </c>
      <c r="I21" t="s">
        <v>26</v>
      </c>
      <c r="J21" t="s">
        <v>14</v>
      </c>
      <c r="K21">
        <f>D21*VLOOKUP(E21,Rates!$B$1:$C$19,2,FALSE)</f>
        <v>6188</v>
      </c>
      <c r="L21" t="str">
        <f>VLOOKUP(C21,Merchants!$B$1:$E$6,4,0)</f>
        <v>APAC</v>
      </c>
      <c r="M21" t="s">
        <v>71</v>
      </c>
      <c r="N21">
        <f t="shared" si="0"/>
        <v>1</v>
      </c>
      <c r="O21">
        <f t="shared" si="1"/>
        <v>1</v>
      </c>
    </row>
    <row r="22" spans="1:15" x14ac:dyDescent="0.25">
      <c r="A22" t="s">
        <v>48</v>
      </c>
      <c r="B22" s="2">
        <v>46087</v>
      </c>
      <c r="C22" t="s">
        <v>34</v>
      </c>
      <c r="D22">
        <v>330000</v>
      </c>
      <c r="E22" t="s">
        <v>11</v>
      </c>
      <c r="F22" t="s">
        <v>86</v>
      </c>
      <c r="G22">
        <v>63</v>
      </c>
      <c r="I22" t="s">
        <v>29</v>
      </c>
      <c r="J22" t="s">
        <v>17</v>
      </c>
      <c r="K22">
        <f>D22*VLOOKUP(E22,Rates!$B$1:$C$19,2,FALSE)</f>
        <v>3927.0000000000005</v>
      </c>
      <c r="L22" t="str">
        <f>VLOOKUP(C22,Merchants!$B$1:$E$6,4,0)</f>
        <v>APAC</v>
      </c>
      <c r="M22" t="s">
        <v>74</v>
      </c>
      <c r="N22">
        <f t="shared" si="0"/>
        <v>0</v>
      </c>
      <c r="O22">
        <f t="shared" si="1"/>
        <v>0</v>
      </c>
    </row>
    <row r="23" spans="1:15" x14ac:dyDescent="0.25">
      <c r="A23" t="s">
        <v>49</v>
      </c>
      <c r="B23" s="2">
        <v>46087</v>
      </c>
      <c r="C23" t="s">
        <v>24</v>
      </c>
      <c r="D23">
        <v>410000</v>
      </c>
      <c r="E23" t="s">
        <v>11</v>
      </c>
      <c r="F23" t="s">
        <v>86</v>
      </c>
      <c r="G23">
        <v>60</v>
      </c>
      <c r="H23" t="s">
        <v>12</v>
      </c>
      <c r="I23" t="s">
        <v>31</v>
      </c>
      <c r="J23" t="s">
        <v>14</v>
      </c>
      <c r="K23">
        <f>D23*VLOOKUP(E23,Rates!$B$1:$C$19,2,FALSE)</f>
        <v>4879</v>
      </c>
      <c r="L23" t="str">
        <f>VLOOKUP(C23,Merchants!$B$1:$E$6,4,0)</f>
        <v>APAC</v>
      </c>
      <c r="M23" t="s">
        <v>71</v>
      </c>
      <c r="N23">
        <f t="shared" si="0"/>
        <v>0</v>
      </c>
      <c r="O23">
        <f t="shared" si="1"/>
        <v>0</v>
      </c>
    </row>
    <row r="24" spans="1:15" x14ac:dyDescent="0.25">
      <c r="A24" t="s">
        <v>50</v>
      </c>
      <c r="B24" s="2">
        <v>46082</v>
      </c>
      <c r="C24" t="s">
        <v>51</v>
      </c>
      <c r="D24">
        <v>5200</v>
      </c>
      <c r="E24" t="s">
        <v>52</v>
      </c>
      <c r="F24" t="s">
        <v>86</v>
      </c>
      <c r="G24">
        <v>42</v>
      </c>
      <c r="H24" t="s">
        <v>55</v>
      </c>
      <c r="I24" t="s">
        <v>19</v>
      </c>
      <c r="J24" t="s">
        <v>17</v>
      </c>
      <c r="K24">
        <f>D24*VLOOKUP(E24,Rates!$B$1:$C$19,2,FALSE)</f>
        <v>5616</v>
      </c>
      <c r="L24" t="str">
        <f>VLOOKUP(C24,Merchants!$B$1:$E$6,4,0)</f>
        <v>EU</v>
      </c>
      <c r="M24" t="s">
        <v>77</v>
      </c>
      <c r="N24">
        <f t="shared" si="0"/>
        <v>0</v>
      </c>
      <c r="O24">
        <f t="shared" si="1"/>
        <v>0</v>
      </c>
    </row>
    <row r="25" spans="1:15" x14ac:dyDescent="0.25">
      <c r="A25" t="s">
        <v>53</v>
      </c>
      <c r="B25" s="2">
        <v>46083</v>
      </c>
      <c r="C25" t="s">
        <v>54</v>
      </c>
      <c r="D25">
        <v>6100</v>
      </c>
      <c r="E25" t="s">
        <v>52</v>
      </c>
      <c r="F25" t="s">
        <v>94</v>
      </c>
      <c r="G25">
        <v>65</v>
      </c>
      <c r="H25" t="s">
        <v>55</v>
      </c>
      <c r="I25" t="s">
        <v>22</v>
      </c>
      <c r="J25" t="s">
        <v>17</v>
      </c>
      <c r="K25">
        <f>D25*VLOOKUP(E25,Rates!$B$1:$C$19,2,FALSE)</f>
        <v>6588</v>
      </c>
      <c r="L25" t="str">
        <f>VLOOKUP(C25,Merchants!$B$1:$E$6,4,0)</f>
        <v>EU</v>
      </c>
      <c r="M25" t="s">
        <v>83</v>
      </c>
      <c r="N25">
        <f t="shared" si="0"/>
        <v>1</v>
      </c>
      <c r="O25">
        <f t="shared" si="1"/>
        <v>1</v>
      </c>
    </row>
    <row r="26" spans="1:15" x14ac:dyDescent="0.25">
      <c r="A26" t="s">
        <v>56</v>
      </c>
      <c r="B26" s="2">
        <v>46084</v>
      </c>
      <c r="C26" t="s">
        <v>51</v>
      </c>
      <c r="D26">
        <v>2800</v>
      </c>
      <c r="E26" t="s">
        <v>52</v>
      </c>
      <c r="F26" t="s">
        <v>86</v>
      </c>
      <c r="G26">
        <v>38</v>
      </c>
      <c r="H26" t="s">
        <v>55</v>
      </c>
      <c r="I26" t="s">
        <v>26</v>
      </c>
      <c r="J26" t="s">
        <v>27</v>
      </c>
      <c r="K26">
        <f>D26*VLOOKUP(E26,Rates!$B$1:$C$19,2,FALSE)</f>
        <v>3024</v>
      </c>
      <c r="L26" t="str">
        <f>VLOOKUP(C26,Merchants!$B$1:$E$6,4,0)</f>
        <v>EU</v>
      </c>
      <c r="M26" t="s">
        <v>77</v>
      </c>
      <c r="N26">
        <f t="shared" si="0"/>
        <v>0</v>
      </c>
      <c r="O26">
        <f t="shared" si="1"/>
        <v>0</v>
      </c>
    </row>
    <row r="27" spans="1:15" x14ac:dyDescent="0.25">
      <c r="A27" t="s">
        <v>57</v>
      </c>
      <c r="B27" s="2">
        <v>46086</v>
      </c>
      <c r="C27" t="s">
        <v>54</v>
      </c>
      <c r="D27">
        <v>3300</v>
      </c>
      <c r="E27" t="s">
        <v>52</v>
      </c>
      <c r="F27" t="s">
        <v>95</v>
      </c>
      <c r="G27">
        <v>44</v>
      </c>
      <c r="H27" t="s">
        <v>55</v>
      </c>
      <c r="I27" t="s">
        <v>29</v>
      </c>
      <c r="J27" t="s">
        <v>20</v>
      </c>
      <c r="K27">
        <f>D27*VLOOKUP(E27,Rates!$B$1:$C$19,2,FALSE)</f>
        <v>3564.0000000000005</v>
      </c>
      <c r="L27" t="str">
        <f>VLOOKUP(C27,Merchants!$B$1:$E$6,4,0)</f>
        <v>EU</v>
      </c>
      <c r="M27" t="s">
        <v>83</v>
      </c>
      <c r="N27">
        <f t="shared" si="0"/>
        <v>0</v>
      </c>
      <c r="O27">
        <f t="shared" si="1"/>
        <v>0</v>
      </c>
    </row>
    <row r="28" spans="1:15" x14ac:dyDescent="0.25">
      <c r="A28" t="s">
        <v>58</v>
      </c>
      <c r="B28" s="2">
        <v>46082</v>
      </c>
      <c r="C28" t="s">
        <v>61</v>
      </c>
      <c r="D28">
        <v>7200</v>
      </c>
      <c r="E28" t="s">
        <v>59</v>
      </c>
      <c r="F28" t="s">
        <v>86</v>
      </c>
      <c r="G28">
        <v>49</v>
      </c>
      <c r="H28" t="s">
        <v>62</v>
      </c>
      <c r="I28" t="s">
        <v>31</v>
      </c>
      <c r="J28" t="s">
        <v>17</v>
      </c>
      <c r="K28">
        <f>D28*VLOOKUP(E28,Rates!$B$1:$C$19,2,FALSE)</f>
        <v>7200</v>
      </c>
      <c r="L28" t="str">
        <f>VLOOKUP(C28,Merchants!$B$1:$E$6,4,0)</f>
        <v>US</v>
      </c>
      <c r="M28" t="s">
        <v>80</v>
      </c>
      <c r="N28">
        <f t="shared" si="0"/>
        <v>1</v>
      </c>
      <c r="O28">
        <f t="shared" si="1"/>
        <v>0</v>
      </c>
    </row>
    <row r="29" spans="1:15" x14ac:dyDescent="0.25">
      <c r="A29" t="s">
        <v>60</v>
      </c>
      <c r="B29" s="2">
        <v>46083</v>
      </c>
      <c r="C29" t="s">
        <v>61</v>
      </c>
      <c r="D29">
        <v>3100</v>
      </c>
      <c r="E29" t="s">
        <v>59</v>
      </c>
      <c r="F29" t="s">
        <v>86</v>
      </c>
      <c r="G29">
        <v>41</v>
      </c>
      <c r="H29" t="s">
        <v>62</v>
      </c>
      <c r="I29" t="s">
        <v>36</v>
      </c>
      <c r="J29" t="s">
        <v>17</v>
      </c>
      <c r="K29">
        <f>D29*VLOOKUP(E29,Rates!$B$1:$C$19,2,FALSE)</f>
        <v>3100</v>
      </c>
      <c r="L29" t="str">
        <f>VLOOKUP(C29,Merchants!$B$1:$E$6,4,0)</f>
        <v>US</v>
      </c>
      <c r="M29" t="s">
        <v>80</v>
      </c>
      <c r="N29">
        <f t="shared" si="0"/>
        <v>0</v>
      </c>
      <c r="O29">
        <f t="shared" si="1"/>
        <v>0</v>
      </c>
    </row>
    <row r="30" spans="1:15" x14ac:dyDescent="0.25">
      <c r="A30" t="s">
        <v>63</v>
      </c>
      <c r="B30" s="2">
        <v>46085</v>
      </c>
      <c r="C30" t="s">
        <v>61</v>
      </c>
      <c r="D30">
        <v>2500</v>
      </c>
      <c r="E30" t="s">
        <v>59</v>
      </c>
      <c r="F30" t="s">
        <v>94</v>
      </c>
      <c r="G30">
        <v>58</v>
      </c>
      <c r="H30" t="s">
        <v>62</v>
      </c>
      <c r="I30" t="s">
        <v>38</v>
      </c>
      <c r="J30" t="s">
        <v>27</v>
      </c>
      <c r="K30">
        <f>D30*VLOOKUP(E30,Rates!$B$1:$C$19,2,FALSE)</f>
        <v>2500</v>
      </c>
      <c r="L30" t="str">
        <f>VLOOKUP(C30,Merchants!$B$1:$E$6,4,0)</f>
        <v>US</v>
      </c>
      <c r="M30" t="s">
        <v>80</v>
      </c>
      <c r="N30">
        <f t="shared" si="0"/>
        <v>0</v>
      </c>
      <c r="O30">
        <f t="shared" si="1"/>
        <v>1</v>
      </c>
    </row>
    <row r="31" spans="1:15" x14ac:dyDescent="0.25">
      <c r="A31" t="s">
        <v>64</v>
      </c>
      <c r="B31" s="2">
        <v>46087</v>
      </c>
      <c r="C31" t="s">
        <v>61</v>
      </c>
      <c r="D31">
        <v>1800</v>
      </c>
      <c r="E31" t="s">
        <v>59</v>
      </c>
      <c r="F31" t="s">
        <v>95</v>
      </c>
      <c r="G31">
        <v>47</v>
      </c>
      <c r="H31" t="s">
        <v>62</v>
      </c>
      <c r="I31" t="s">
        <v>40</v>
      </c>
      <c r="J31" t="s">
        <v>14</v>
      </c>
      <c r="K31">
        <f>D31*VLOOKUP(E31,Rates!$B$1:$C$19,2,FALSE)</f>
        <v>1800</v>
      </c>
      <c r="L31" t="str">
        <f>VLOOKUP(C31,Merchants!$B$1:$E$6,4,0)</f>
        <v>US</v>
      </c>
      <c r="M31" t="s">
        <v>80</v>
      </c>
      <c r="N31">
        <f t="shared" si="0"/>
        <v>0</v>
      </c>
      <c r="O31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5" x14ac:dyDescent="0.25"/>
  <cols>
    <col min="1" max="1" width="10.42578125" bestFit="1" customWidth="1"/>
    <col min="2" max="2" width="8.5703125" bestFit="1" customWidth="1"/>
    <col min="3" max="3" width="8.7109375" bestFit="1" customWidth="1"/>
  </cols>
  <sheetData>
    <row r="1" spans="1:3" x14ac:dyDescent="0.25">
      <c r="A1" t="s">
        <v>65</v>
      </c>
      <c r="B1" t="s">
        <v>4</v>
      </c>
      <c r="C1" t="s">
        <v>66</v>
      </c>
    </row>
    <row r="2" spans="1:3" x14ac:dyDescent="0.25">
      <c r="A2" s="1">
        <v>46082</v>
      </c>
      <c r="B2" t="s">
        <v>11</v>
      </c>
      <c r="C2">
        <v>1.1900000000000001E-2</v>
      </c>
    </row>
    <row r="3" spans="1:3" x14ac:dyDescent="0.25">
      <c r="A3" s="1">
        <v>46082</v>
      </c>
      <c r="B3" t="s">
        <v>52</v>
      </c>
      <c r="C3">
        <v>1.08</v>
      </c>
    </row>
    <row r="4" spans="1:3" x14ac:dyDescent="0.25">
      <c r="A4" s="1">
        <v>46082</v>
      </c>
      <c r="B4" t="s">
        <v>59</v>
      </c>
      <c r="C4">
        <v>1</v>
      </c>
    </row>
    <row r="5" spans="1:3" x14ac:dyDescent="0.25">
      <c r="A5" s="1">
        <v>46083</v>
      </c>
      <c r="B5" t="s">
        <v>11</v>
      </c>
      <c r="C5">
        <v>1.2E-2</v>
      </c>
    </row>
    <row r="6" spans="1:3" x14ac:dyDescent="0.25">
      <c r="A6" s="1">
        <v>46083</v>
      </c>
      <c r="B6" t="s">
        <v>52</v>
      </c>
      <c r="C6">
        <v>1.0900000000000001</v>
      </c>
    </row>
    <row r="7" spans="1:3" x14ac:dyDescent="0.25">
      <c r="A7" s="1">
        <v>46083</v>
      </c>
      <c r="B7" t="s">
        <v>59</v>
      </c>
      <c r="C7">
        <v>1</v>
      </c>
    </row>
    <row r="8" spans="1:3" x14ac:dyDescent="0.25">
      <c r="A8" s="1">
        <v>46084</v>
      </c>
      <c r="B8" t="s">
        <v>11</v>
      </c>
      <c r="C8">
        <v>1.21E-2</v>
      </c>
    </row>
    <row r="9" spans="1:3" x14ac:dyDescent="0.25">
      <c r="A9" s="1">
        <v>46084</v>
      </c>
      <c r="B9" t="s">
        <v>52</v>
      </c>
      <c r="C9">
        <v>1.08</v>
      </c>
    </row>
    <row r="10" spans="1:3" x14ac:dyDescent="0.25">
      <c r="A10" s="1">
        <v>46084</v>
      </c>
      <c r="B10" t="s">
        <v>59</v>
      </c>
      <c r="C10">
        <v>1</v>
      </c>
    </row>
    <row r="11" spans="1:3" x14ac:dyDescent="0.25">
      <c r="A11" s="1">
        <v>46085</v>
      </c>
      <c r="B11" t="s">
        <v>11</v>
      </c>
      <c r="C11">
        <v>1.2E-2</v>
      </c>
    </row>
    <row r="12" spans="1:3" x14ac:dyDescent="0.25">
      <c r="A12" s="1">
        <v>46085</v>
      </c>
      <c r="B12" t="s">
        <v>52</v>
      </c>
      <c r="C12">
        <v>1.07</v>
      </c>
    </row>
    <row r="13" spans="1:3" x14ac:dyDescent="0.25">
      <c r="A13" s="1">
        <v>46085</v>
      </c>
      <c r="B13" t="s">
        <v>59</v>
      </c>
      <c r="C13">
        <v>1</v>
      </c>
    </row>
    <row r="14" spans="1:3" x14ac:dyDescent="0.25">
      <c r="A14" s="1">
        <v>46086</v>
      </c>
      <c r="B14" t="s">
        <v>11</v>
      </c>
      <c r="C14">
        <v>1.18E-2</v>
      </c>
    </row>
    <row r="15" spans="1:3" x14ac:dyDescent="0.25">
      <c r="A15" s="1">
        <v>46086</v>
      </c>
      <c r="B15" t="s">
        <v>52</v>
      </c>
      <c r="C15">
        <v>1.0900000000000001</v>
      </c>
    </row>
    <row r="16" spans="1:3" x14ac:dyDescent="0.25">
      <c r="A16" s="1">
        <v>46086</v>
      </c>
      <c r="B16" t="s">
        <v>59</v>
      </c>
      <c r="C16">
        <v>1</v>
      </c>
    </row>
    <row r="17" spans="1:3" x14ac:dyDescent="0.25">
      <c r="A17" s="1">
        <v>46087</v>
      </c>
      <c r="B17" t="s">
        <v>11</v>
      </c>
      <c r="C17">
        <v>1.1900000000000001E-2</v>
      </c>
    </row>
    <row r="18" spans="1:3" x14ac:dyDescent="0.25">
      <c r="A18" s="1">
        <v>46087</v>
      </c>
      <c r="B18" t="s">
        <v>52</v>
      </c>
      <c r="C18">
        <v>1.08</v>
      </c>
    </row>
    <row r="19" spans="1:3" x14ac:dyDescent="0.25">
      <c r="A19" s="1">
        <v>46087</v>
      </c>
      <c r="B19" t="s">
        <v>59</v>
      </c>
      <c r="C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6" sqref="E6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16.7109375" bestFit="1" customWidth="1"/>
    <col min="4" max="4" width="18.28515625" bestFit="1" customWidth="1"/>
    <col min="5" max="5" width="14.28515625" bestFit="1" customWidth="1"/>
  </cols>
  <sheetData>
    <row r="1" spans="1:5" x14ac:dyDescent="0.25">
      <c r="A1" t="s">
        <v>67</v>
      </c>
      <c r="B1" t="s">
        <v>2</v>
      </c>
      <c r="C1" t="s">
        <v>68</v>
      </c>
      <c r="D1" t="s">
        <v>69</v>
      </c>
      <c r="E1" t="s">
        <v>70</v>
      </c>
    </row>
    <row r="2" spans="1:5" x14ac:dyDescent="0.25">
      <c r="A2" t="s">
        <v>71</v>
      </c>
      <c r="B2" t="s">
        <v>24</v>
      </c>
      <c r="C2" t="s">
        <v>72</v>
      </c>
      <c r="D2" t="s">
        <v>73</v>
      </c>
      <c r="E2" t="s">
        <v>12</v>
      </c>
    </row>
    <row r="3" spans="1:5" x14ac:dyDescent="0.25">
      <c r="A3" t="s">
        <v>74</v>
      </c>
      <c r="B3" t="s">
        <v>34</v>
      </c>
      <c r="C3" t="s">
        <v>75</v>
      </c>
      <c r="D3" t="s">
        <v>76</v>
      </c>
      <c r="E3" t="s">
        <v>12</v>
      </c>
    </row>
    <row r="4" spans="1:5" x14ac:dyDescent="0.25">
      <c r="A4" t="s">
        <v>77</v>
      </c>
      <c r="B4" t="s">
        <v>51</v>
      </c>
      <c r="C4" t="s">
        <v>78</v>
      </c>
      <c r="D4" t="s">
        <v>79</v>
      </c>
      <c r="E4" t="s">
        <v>55</v>
      </c>
    </row>
    <row r="5" spans="1:5" x14ac:dyDescent="0.25">
      <c r="A5" t="s">
        <v>80</v>
      </c>
      <c r="B5" t="s">
        <v>61</v>
      </c>
      <c r="C5" t="s">
        <v>81</v>
      </c>
      <c r="D5" t="s">
        <v>82</v>
      </c>
      <c r="E5" t="s">
        <v>62</v>
      </c>
    </row>
    <row r="6" spans="1:5" x14ac:dyDescent="0.25">
      <c r="A6" t="s">
        <v>83</v>
      </c>
      <c r="B6" t="s">
        <v>54</v>
      </c>
      <c r="C6" t="s">
        <v>84</v>
      </c>
      <c r="D6" t="s">
        <v>85</v>
      </c>
      <c r="E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Transactions</vt:lpstr>
      <vt:lpstr>Rates</vt:lpstr>
      <vt:lpstr>Merchants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2026-05-10T10:55:44Z</dcterms:created>
  <dcterms:modified xsi:type="dcterms:W3CDTF">2026-05-16T02:04:34Z</dcterms:modified>
</cp:coreProperties>
</file>